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ndre\Documents\Proyectos\GeminiTests\AppPerPel\ProyectoEjecutivo\ContextoDiario-2026-03-15\"/>
    </mc:Choice>
  </mc:AlternateContent>
  <xr:revisionPtr revIDLastSave="0" documentId="13_ncr:1_{0892BC82-A9BB-45DD-9FFE-7E34FB87A9E7}" xr6:coauthVersionLast="47" xr6:coauthVersionMax="47" xr10:uidLastSave="{00000000-0000-0000-0000-000000000000}"/>
  <bookViews>
    <workbookView xWindow="-108" yWindow="-108" windowWidth="23256" windowHeight="12456" xr2:uid="{968BD831-5A7C-4F25-A2DB-94CC775844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1" l="1"/>
  <c r="AD3" i="1"/>
  <c r="AD4" i="1"/>
  <c r="AD5" i="1"/>
  <c r="AD6" i="1"/>
  <c r="AD7" i="1"/>
  <c r="AD8" i="1"/>
  <c r="AD9" i="1"/>
  <c r="AD10" i="1"/>
  <c r="AD11" i="1"/>
  <c r="K2" i="1"/>
  <c r="K3" i="1"/>
  <c r="K4" i="1"/>
  <c r="K5" i="1"/>
  <c r="K6" i="1"/>
  <c r="K7" i="1"/>
  <c r="K8" i="1"/>
  <c r="K9" i="1"/>
  <c r="K10" i="1"/>
  <c r="K11" i="1"/>
</calcChain>
</file>

<file path=xl/sharedStrings.xml><?xml version="1.0" encoding="utf-8"?>
<sst xmlns="http://schemas.openxmlformats.org/spreadsheetml/2006/main" count="172" uniqueCount="117">
  <si>
    <t>Identificador de URL</t>
  </si>
  <si>
    <t>Nombre</t>
  </si>
  <si>
    <t>Categorías</t>
  </si>
  <si>
    <t>Nombre de propiedad 1</t>
  </si>
  <si>
    <t>Valor de propiedad 1</t>
  </si>
  <si>
    <t>Nombre de propiedad 2</t>
  </si>
  <si>
    <t>Valor de propiedad 2</t>
  </si>
  <si>
    <t>Nombre de propiedad 3</t>
  </si>
  <si>
    <t>Valor de propiedad 3</t>
  </si>
  <si>
    <t>Precio</t>
  </si>
  <si>
    <t>Precio promocional</t>
  </si>
  <si>
    <t>Peso (kg)</t>
  </si>
  <si>
    <t>Alto (cm)</t>
  </si>
  <si>
    <t>Ancho (cm)</t>
  </si>
  <si>
    <t>Profundidad (cm)</t>
  </si>
  <si>
    <t>Stock</t>
  </si>
  <si>
    <t>SKU</t>
  </si>
  <si>
    <t>Código de barras</t>
  </si>
  <si>
    <t>Mostrar en tienda</t>
  </si>
  <si>
    <t>Envío sin cargo</t>
  </si>
  <si>
    <t>Descripción</t>
  </si>
  <si>
    <t>Tags</t>
  </si>
  <si>
    <t>Título para SEO</t>
  </si>
  <si>
    <t>Descripción para SEO</t>
  </si>
  <si>
    <t>Marca</t>
  </si>
  <si>
    <t>Producto Físico</t>
  </si>
  <si>
    <t>MPN</t>
  </si>
  <si>
    <t>Sexo</t>
  </si>
  <si>
    <t>Rango de edad</t>
  </si>
  <si>
    <t>Costo</t>
  </si>
  <si>
    <t>101630-MONTALE-AOUD-FOREST-EPV-100ML-1-6</t>
  </si>
  <si>
    <t>MONTALE AOUD FOREST</t>
  </si>
  <si>
    <t>Fragancias &gt; Eau de Parfum &gt; Amaderada Acuática</t>
  </si>
  <si>
    <t>FRAG-00001-101630</t>
  </si>
  <si>
    <t>SI</t>
  </si>
  <si>
    <t>NO</t>
  </si>
  <si>
    <t>Poesía olfativa amaderada y acuática donde el oud se refresca con notas marinas y jengibre vibrante.</t>
  </si>
  <si>
    <t>MONTALE AOUD FOREST - Montale - Original</t>
  </si>
  <si>
    <t>Descubre MONTALE AOUD FOREST, una fragancia exclusiva de la familia Amaderada Acuática lanzada en 2009</t>
  </si>
  <si>
    <t>Montale</t>
  </si>
  <si>
    <t>Unisex</t>
  </si>
  <si>
    <t>https://wpwmcikdclulxuhpijri.supabase.co/storage/v1/object/public/perpel_images/perfumery_fragancias/101630_MONTALE_AOUD_FOREST_EPV_100ML_1_6_png.webp</t>
  </si>
  <si>
    <t>101631-MONTALE-AOUD-LEATHER-EPV-100ML-1--6</t>
  </si>
  <si>
    <t>MONTALE AOUD LEATHER</t>
  </si>
  <si>
    <t>Fragancias &gt; Eau de Parfum &gt; Cuero</t>
  </si>
  <si>
    <t>FRAG-00002-101631</t>
  </si>
  <si>
    <t>Una interpretación magistral del cuero especiado con azafrán y cardamomo sobre un fondo de oud de Laos.</t>
  </si>
  <si>
    <t>MONTALE AOUD LEATHER - Montale - Original</t>
  </si>
  <si>
    <t>Descubre MONTALE AOUD LEATHER, una fragancia exclusiva de la familia Cuero lanzada en 2009</t>
  </si>
  <si>
    <t>Masculino</t>
  </si>
  <si>
    <t>https://wpwmcikdclulxuhpijri.supabase.co/storage/v1/object/public/perpel_images/perfumery_fragancias/101631_MONTALE_AOUD_LEATHER_EPV_100ML_1__6_png.webp</t>
  </si>
  <si>
    <t>101633-MONTALE-DARK-AOUD-EPV-100ML-1</t>
  </si>
  <si>
    <t>MONTALE DARK AOUD</t>
  </si>
  <si>
    <t>Fragancias &gt; Eau de Parfum &gt; Amaderada</t>
  </si>
  <si>
    <t>FRAG-00003-101633</t>
  </si>
  <si>
    <t>Minimalismo extremo centrado en la oscuridad del sándalo y el oud, creando un aura mística y resinosa.</t>
  </si>
  <si>
    <t>MONTALE DARK AOUD - Montale - Original</t>
  </si>
  <si>
    <t>Descubre MONTALE DARK AOUD, una fragancia exclusiva de la familia Amaderada lanzada en 2011</t>
  </si>
  <si>
    <t>https://wpwmcikdclulxuhpijri.supabase.co/storage/v1/object/public/perpel_images/perfumery_fragancias/101633_MONTALE_DARK_AOUD_EPV_100ML_1_png.webp</t>
  </si>
  <si>
    <t>101642-MONTALE-OUDMAZING-EPV-100ML-1</t>
  </si>
  <si>
    <t>MONTALE OUDMAZING</t>
  </si>
  <si>
    <t>Fragancias &gt; Eau de Parfum &gt; Floral Frutal</t>
  </si>
  <si>
    <t>FRAG-00004-101642</t>
  </si>
  <si>
    <t>Explosión exuberante de higos, uvas y cítricos fusionados con el carácter indómito del oud de Malasia.</t>
  </si>
  <si>
    <t>MONTALE OUDMAZING - Montale - Original</t>
  </si>
  <si>
    <t>Descubre MONTALE OUDMAZING, una fragancia exclusiva de la familia Floral Frutal lanzada en 2016</t>
  </si>
  <si>
    <t>https://wpwmcikdclulxuhpijri.supabase.co/storage/v1/object/public/perpel_images/perfumery_fragancias/101642_MONTALE_OUDMAZING_EPV_100ML_1_png.webp</t>
  </si>
  <si>
    <t>101643-MONTALE-AOUD-JASMINE-EPV-100ML-1-5</t>
  </si>
  <si>
    <t>MONTALE AOUD JASMINE</t>
  </si>
  <si>
    <t>Fragancias &gt; Eau de Parfum &gt; Floral</t>
  </si>
  <si>
    <t>FRAG-00005-101643</t>
  </si>
  <si>
    <t>El resplandor del jazmín de la India se entrelaza con la profundidad del oud y la frescura de la pera.</t>
  </si>
  <si>
    <t>MONTALE AOUD JASMINE - Montale - Original</t>
  </si>
  <si>
    <t>Descubre MONTALE AOUD JASMINE, una fragancia exclusiva de la familia Floral lanzada en 2016</t>
  </si>
  <si>
    <t>Femenino</t>
  </si>
  <si>
    <t>https://wpwmcikdclulxuhpijri.supabase.co/storage/v1/object/public/perpel_images/perfumery_fragancias/101643_MONTALE_AOUD_JASMINE_EPV_100ML_1_5_png.webp</t>
  </si>
  <si>
    <t>101646-MONTALE-INTENSE-BLACK-AOUD-EPV-100ML-1-8</t>
  </si>
  <si>
    <t>MONTALE INTENSE BLACK AOUD</t>
  </si>
  <si>
    <t>Fragancias &gt; Eau de Parfum &gt; Orientales</t>
  </si>
  <si>
    <t>FRAG-00006-101646</t>
  </si>
  <si>
    <t>Interpretación potenciada del clásico: rosa profunda, pachulí y un oud imponente de estela infinita.</t>
  </si>
  <si>
    <t>MONTALE INTENSE BLACK AOUD - Montale - Original</t>
  </si>
  <si>
    <t>Descubre MONTALE INTENSE BLACK AOUD, una fragancia exclusiva de la familia Orientales lanzada en 2017</t>
  </si>
  <si>
    <t>https://wpwmcikdclulxuhpijri.supabase.co/storage/v1/object/public/perpel_images/perfumery_fragancias/101646_MONTALE_INTENSE_BLACK_AOUD_EPV_100ML_1_8_png.webp</t>
  </si>
  <si>
    <t>101647-MONTALE-FANTASTIC-OUD-EPV-100ML-1-8</t>
  </si>
  <si>
    <t>MONTALE FANTASTIC OUD</t>
  </si>
  <si>
    <t>Fragancias &gt; Eau de Parfum &gt; Amaderadas</t>
  </si>
  <si>
    <t>FRAG-00007-101647</t>
  </si>
  <si>
    <t>Viaje olfativo cálido con matices de tabaco, incienso y ámbar gris sobre una base de oud suntuoso.</t>
  </si>
  <si>
    <t>MONTALE FANTASTIC OUD - Montale - Original</t>
  </si>
  <si>
    <t>Descubre MONTALE FANTASTIC OUD, una fragancia exclusiva de la familia Amaderada lanzada en 2018</t>
  </si>
  <si>
    <t>https://wpwmcikdclulxuhpijri.supabase.co/storage/v1/object/public/perpel_images/perfumery_fragancias/101647_MONTALE_FANTASTIC_OUD_EPV_100ML_1_8_png.webp</t>
  </si>
  <si>
    <t>101654-MONTALE-CANDY-ROSE-EPV-100ML-1-5</t>
  </si>
  <si>
    <t>MONTALE CANDY ROSE</t>
  </si>
  <si>
    <t>FRAG-00008-101654</t>
  </si>
  <si>
    <t>Una rosa golosa y cristalina adornada con lichi, frutos rojos y mandarina jugosa.</t>
  </si>
  <si>
    <t>MONTALE CANDY ROSE - Montale - Original</t>
  </si>
  <si>
    <t>Descubre MONTALE CANDY ROSE, una fragancia exclusiva de la familia Floral Frutal lanzada en 2012</t>
  </si>
  <si>
    <t>https://wpwmcikdclulxuhpijri.supabase.co/storage/v1/object/public/perpel_images/perfumery_fragancias/101654_MONTALE_CANDY_ROSE_EPV_100ML_1_5_png.webp</t>
  </si>
  <si>
    <t>101655-montale-intense-roses-musk-epv-100ml-1-5</t>
  </si>
  <si>
    <t>MONTALE INTENSE ROSES MUSK</t>
  </si>
  <si>
    <t>FRAG-00009-101655</t>
  </si>
  <si>
    <t>Pureza absoluta: la esencia de la rosa búlgara realzada por un almizcle blanco de alta densidad.</t>
  </si>
  <si>
    <t>MONTALE INTENSE ROSES MUSK - Montale - Original</t>
  </si>
  <si>
    <t>Descubre MONTALE INTENSE ROSES MUSK, una fragancia exclusiva de la familia Floral lanzada en 2015</t>
  </si>
  <si>
    <t>https://wpwmcikdclulxuhpijri.supabase.co/storage/v1/object/public/perpel_images/perfumery_fragancias/101655_montale_intense_roses_musk_epv_100ml_1_5_png.webp</t>
  </si>
  <si>
    <t>101661-MONTALE-WILD-PEARS-EPV-100ML-1-5</t>
  </si>
  <si>
    <t>MONTALE WILD PEARS</t>
  </si>
  <si>
    <t>Fragancias &gt; Eau de Parfum &gt; Aromática Frutal</t>
  </si>
  <si>
    <t>FRAG-00010-101661</t>
  </si>
  <si>
    <t>La frescura vibrante de la pera se funde con la calidez del clavel y un sándalo cremoso.</t>
  </si>
  <si>
    <t>MONTALE WILD PEARS - Montale - Original</t>
  </si>
  <si>
    <t>Descubre MONTALE WILD PEARS, una fragancia exclusiva de la familia Aromática Frutal lanzada en 2011</t>
  </si>
  <si>
    <t>https://wpwmcikdclulxuhpijri.supabase.co/storage/v1/object/public/perpel_images/perfumery_fragancias/101661_MONTALE_WILD_PEARS_EPV_100ML_1_5_png.webp</t>
  </si>
  <si>
    <t>Adultos</t>
  </si>
  <si>
    <t>818257701645</t>
  </si>
  <si>
    <t>Imagen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</si>
</sst>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91CAC0-34E8-43ED-A3B9-BB00FCD114BB}" name="Table1" displayName="Table1" ref="A1:AE11" totalsRowShown="0">
  <autoFilter ref="A1:AE11" xr:uid="{6B91CAC0-34E8-43ED-A3B9-BB00FCD114BB}"/>
  <tableColumns count="31">
    <tableColumn id="3" xr3:uid="{A2787F97-122E-4E5D-AF1C-ED51B12619E2}" name="Identificador de URL"/>
    <tableColumn id="4" xr3:uid="{CB7B51F0-AC95-44EA-AE65-69B551340247}" name="Nombre"/>
    <tableColumn id="5" xr3:uid="{592C7644-58AA-4A4D-B7B4-53BCC903F913}" name="Categorías"/>
    <tableColumn id="6" xr3:uid="{26BF80F6-A88A-4328-BC43-4E85F6A2D728}" name="Nombre de propiedad 1"/>
    <tableColumn id="7" xr3:uid="{80971BD4-A928-4B9B-AD83-B66A923A3C0D}" name="Valor de propiedad 1"/>
    <tableColumn id="8" xr3:uid="{A8F64B3F-BD15-4FF8-AE6F-2E3D65ED1F8E}" name="Nombre de propiedad 2"/>
    <tableColumn id="9" xr3:uid="{E844D325-0C7A-4FE7-854A-3F658328CAF2}" name="Valor de propiedad 2"/>
    <tableColumn id="10" xr3:uid="{A50AA4F7-2781-4D80-A2FE-065D09AD7E3B}" name="Nombre de propiedad 3"/>
    <tableColumn id="11" xr3:uid="{5F482B42-6924-4A9E-8E54-5C53E2FC572D}" name="Valor de propiedad 3"/>
    <tableColumn id="12" xr3:uid="{8D5795A9-2020-4436-BE29-66DFAA36F597}" name="Precio" dataDxfId="2"/>
    <tableColumn id="13" xr3:uid="{9643CFE2-C665-48A7-9C2D-D0EC38408C28}" name="Precio promocional" dataDxfId="1">
      <calculatedColumnFormula>+Table1[[#This Row],[Precio]]*0.95</calculatedColumnFormula>
    </tableColumn>
    <tableColumn id="14" xr3:uid="{C443530D-CF0B-4C90-88E5-A7960CB6BFD1}" name="Peso (kg)"/>
    <tableColumn id="15" xr3:uid="{8AD080AD-6128-484C-8AC6-CF1ECC9AD91A}" name="Alto (cm)"/>
    <tableColumn id="16" xr3:uid="{AFE86BAA-3BC9-4076-BA0A-547F0AD2DDC8}" name="Ancho (cm)"/>
    <tableColumn id="17" xr3:uid="{5D808C06-9DD0-4F8E-A4C4-44CF18CB1BAE}" name="Profundidad (cm)"/>
    <tableColumn id="18" xr3:uid="{650DB8D7-AC81-4DA7-9764-8F13EED18741}" name="Stock"/>
    <tableColumn id="19" xr3:uid="{9E9273AD-7E7C-450A-9B60-D9DB8CEB6970}" name="SKU"/>
    <tableColumn id="20" xr3:uid="{7168E674-A277-4D96-961F-9AEFDA65DB17}" name="Código de barras"/>
    <tableColumn id="21" xr3:uid="{DF196863-BCEC-450B-8A22-BC45704190D7}" name="Mostrar en tienda"/>
    <tableColumn id="22" xr3:uid="{C5A1F14A-6AA3-4C7C-B2C5-5C8B64042045}" name="Envío sin cargo"/>
    <tableColumn id="23" xr3:uid="{3D4CF977-24AD-47E0-A32A-4AAF8CDCBE73}" name="Descripción"/>
    <tableColumn id="24" xr3:uid="{836012A1-C8F4-4DAB-9343-CADFE62AFB42}" name="Tags"/>
    <tableColumn id="25" xr3:uid="{0D9542E9-51EA-46B9-8F9B-649D95383CD9}" name="Título para SEO"/>
    <tableColumn id="26" xr3:uid="{1BB0A6C0-DF87-4C7E-8BA3-0D4838BF8291}" name="Descripción para SEO"/>
    <tableColumn id="27" xr3:uid="{60EB9478-5209-43BC-B92D-BBBD3EC1A2E5}" name="Marca"/>
    <tableColumn id="28" xr3:uid="{9D52EC60-6F8A-418F-8443-8CCF09CC8F54}" name="Producto Físico"/>
    <tableColumn id="29" xr3:uid="{1943D552-C12B-42A1-B128-42BA890A7BCA}" name="MPN"/>
    <tableColumn id="30" xr3:uid="{14B27409-CAE7-4D1C-A1B7-665224D7527A}" name="Sexo"/>
    <tableColumn id="31" xr3:uid="{1C2AC050-A6ED-4002-B366-828CCC100856}" name="Rango de edad"/>
    <tableColumn id="32" xr3:uid="{8ECA8A0D-7B54-48C5-B7DC-E7300440527D}" name="Costo" dataDxfId="0">
      <calculatedColumnFormula>+Table1[[#This Row],[Precio]]*0.7</calculatedColumnFormula>
    </tableColumn>
    <tableColumn id="33" xr3:uid="{B1A319F0-10F4-48D2-A861-347C93940FDA}" name="Imagen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31630-3C37-447C-B567-8B78B9F4EF21}">
  <sheetPr codeName="Sheet1"/>
  <dimension ref="A1:AE11"/>
  <sheetViews>
    <sheetView tabSelected="1" topLeftCell="AA1" workbookViewId="0">
      <selection activeCell="AE11" sqref="AE11"/>
    </sheetView>
  </sheetViews>
  <sheetFormatPr defaultRowHeight="14.4" x14ac:dyDescent="0.3"/>
  <cols>
    <col min="1" max="1" width="55.21875" customWidth="1"/>
    <col min="3" max="3" width="19.6640625" customWidth="1"/>
    <col min="4" max="4" width="25.21875" customWidth="1"/>
    <col min="5" max="5" width="28.77734375" customWidth="1"/>
    <col min="6" max="6" width="13.21875" customWidth="1"/>
    <col min="7" max="7" width="8.33203125" customWidth="1"/>
    <col min="8" max="8" width="31.88671875" bestFit="1" customWidth="1"/>
    <col min="9" max="9" width="20" customWidth="1"/>
    <col min="10" max="10" width="22.44140625" customWidth="1"/>
    <col min="11" max="11" width="37.109375" bestFit="1" customWidth="1"/>
    <col min="13" max="13" width="19.109375" customWidth="1"/>
    <col min="14" max="14" width="10.44140625" customWidth="1"/>
    <col min="15" max="15" width="10.5546875" customWidth="1"/>
    <col min="16" max="16" width="12.33203125" customWidth="1"/>
    <col min="17" max="17" width="18.109375" bestFit="1" customWidth="1"/>
    <col min="18" max="18" width="21.33203125" customWidth="1"/>
    <col min="19" max="19" width="18.109375" bestFit="1" customWidth="1"/>
    <col min="20" max="20" width="16.77734375" customWidth="1"/>
    <col min="21" max="21" width="17.21875" customWidth="1"/>
    <col min="22" max="22" width="15" customWidth="1"/>
    <col min="23" max="23" width="12.88671875" customWidth="1"/>
    <col min="25" max="25" width="15.44140625" customWidth="1"/>
    <col min="26" max="26" width="20.77734375" customWidth="1"/>
    <col min="28" max="28" width="15.77734375" customWidth="1"/>
    <col min="30" max="30" width="9.21875" bestFit="1" customWidth="1"/>
    <col min="31" max="31" width="155.6640625" bestFit="1" customWidth="1"/>
    <col min="33" max="33" width="1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116</v>
      </c>
    </row>
    <row r="2" spans="1:31" x14ac:dyDescent="0.3">
      <c r="A2" t="s">
        <v>30</v>
      </c>
      <c r="B2" t="s">
        <v>31</v>
      </c>
      <c r="C2" t="s">
        <v>32</v>
      </c>
      <c r="J2">
        <v>541973</v>
      </c>
      <c r="K2">
        <f>+Table1[[#This Row],[Precio]]*0.95</f>
        <v>514874.35</v>
      </c>
      <c r="L2">
        <v>0.15</v>
      </c>
      <c r="M2">
        <v>12</v>
      </c>
      <c r="N2">
        <v>5</v>
      </c>
      <c r="O2">
        <v>5</v>
      </c>
      <c r="P2">
        <v>10</v>
      </c>
      <c r="Q2" t="s">
        <v>33</v>
      </c>
      <c r="R2" s="1" t="s">
        <v>115</v>
      </c>
      <c r="S2" t="s">
        <v>34</v>
      </c>
      <c r="T2" t="s">
        <v>35</v>
      </c>
      <c r="U2" t="s">
        <v>36</v>
      </c>
      <c r="W2" t="s">
        <v>37</v>
      </c>
      <c r="X2" t="s">
        <v>38</v>
      </c>
      <c r="Y2" t="s">
        <v>39</v>
      </c>
      <c r="Z2" t="s">
        <v>34</v>
      </c>
      <c r="AB2" t="s">
        <v>40</v>
      </c>
      <c r="AC2" t="s">
        <v>114</v>
      </c>
      <c r="AD2">
        <f>+Table1[[#This Row],[Precio]]*0.7</f>
        <v>379381.1</v>
      </c>
      <c r="AE2" t="s">
        <v>41</v>
      </c>
    </row>
    <row r="3" spans="1:31" x14ac:dyDescent="0.3">
      <c r="A3" t="s">
        <v>42</v>
      </c>
      <c r="B3" t="s">
        <v>43</v>
      </c>
      <c r="C3" t="s">
        <v>44</v>
      </c>
      <c r="J3">
        <v>513068</v>
      </c>
      <c r="K3">
        <f>+Table1[[#This Row],[Precio]]*0.95</f>
        <v>487414.6</v>
      </c>
      <c r="L3">
        <v>0.15</v>
      </c>
      <c r="M3">
        <v>12</v>
      </c>
      <c r="N3">
        <v>5</v>
      </c>
      <c r="O3">
        <v>5</v>
      </c>
      <c r="P3">
        <v>10</v>
      </c>
      <c r="Q3" t="s">
        <v>45</v>
      </c>
      <c r="S3" t="s">
        <v>34</v>
      </c>
      <c r="T3" t="s">
        <v>35</v>
      </c>
      <c r="U3" t="s">
        <v>46</v>
      </c>
      <c r="W3" t="s">
        <v>47</v>
      </c>
      <c r="X3" t="s">
        <v>48</v>
      </c>
      <c r="Y3" t="s">
        <v>39</v>
      </c>
      <c r="Z3" t="s">
        <v>34</v>
      </c>
      <c r="AB3" t="s">
        <v>49</v>
      </c>
      <c r="AC3" t="s">
        <v>114</v>
      </c>
      <c r="AD3">
        <f>+Table1[[#This Row],[Precio]]*0.7</f>
        <v>359147.6</v>
      </c>
      <c r="AE3" t="s">
        <v>50</v>
      </c>
    </row>
    <row r="4" spans="1:31" x14ac:dyDescent="0.3">
      <c r="A4" t="s">
        <v>51</v>
      </c>
      <c r="B4" t="s">
        <v>52</v>
      </c>
      <c r="C4" t="s">
        <v>53</v>
      </c>
      <c r="J4">
        <v>551232</v>
      </c>
      <c r="K4">
        <f>+Table1[[#This Row],[Precio]]*0.95</f>
        <v>523670.39999999997</v>
      </c>
      <c r="L4">
        <v>0.15</v>
      </c>
      <c r="M4">
        <v>12</v>
      </c>
      <c r="N4">
        <v>5</v>
      </c>
      <c r="O4">
        <v>5</v>
      </c>
      <c r="P4">
        <v>10</v>
      </c>
      <c r="Q4" t="s">
        <v>54</v>
      </c>
      <c r="S4" t="s">
        <v>34</v>
      </c>
      <c r="T4" t="s">
        <v>35</v>
      </c>
      <c r="U4" t="s">
        <v>55</v>
      </c>
      <c r="W4" t="s">
        <v>56</v>
      </c>
      <c r="X4" t="s">
        <v>57</v>
      </c>
      <c r="Y4" t="s">
        <v>39</v>
      </c>
      <c r="Z4" t="s">
        <v>34</v>
      </c>
      <c r="AB4" t="s">
        <v>49</v>
      </c>
      <c r="AC4" t="s">
        <v>114</v>
      </c>
      <c r="AD4">
        <f>+Table1[[#This Row],[Precio]]*0.7</f>
        <v>385862.39999999997</v>
      </c>
      <c r="AE4" t="s">
        <v>58</v>
      </c>
    </row>
    <row r="5" spans="1:31" x14ac:dyDescent="0.3">
      <c r="A5" t="s">
        <v>59</v>
      </c>
      <c r="B5" t="s">
        <v>60</v>
      </c>
      <c r="C5" t="s">
        <v>61</v>
      </c>
      <c r="J5">
        <v>520861</v>
      </c>
      <c r="K5">
        <f>+Table1[[#This Row],[Precio]]*0.95</f>
        <v>494817.94999999995</v>
      </c>
      <c r="L5">
        <v>0.15</v>
      </c>
      <c r="M5">
        <v>12</v>
      </c>
      <c r="N5">
        <v>5</v>
      </c>
      <c r="O5">
        <v>5</v>
      </c>
      <c r="P5">
        <v>10</v>
      </c>
      <c r="Q5" t="s">
        <v>62</v>
      </c>
      <c r="S5" t="s">
        <v>34</v>
      </c>
      <c r="T5" t="s">
        <v>35</v>
      </c>
      <c r="U5" t="s">
        <v>63</v>
      </c>
      <c r="W5" t="s">
        <v>64</v>
      </c>
      <c r="X5" t="s">
        <v>65</v>
      </c>
      <c r="Y5" t="s">
        <v>39</v>
      </c>
      <c r="Z5" t="s">
        <v>34</v>
      </c>
      <c r="AB5" t="s">
        <v>40</v>
      </c>
      <c r="AC5" t="s">
        <v>114</v>
      </c>
      <c r="AD5">
        <f>+Table1[[#This Row],[Precio]]*0.7</f>
        <v>364602.69999999995</v>
      </c>
      <c r="AE5" t="s">
        <v>66</v>
      </c>
    </row>
    <row r="6" spans="1:31" x14ac:dyDescent="0.3">
      <c r="A6" t="s">
        <v>67</v>
      </c>
      <c r="B6" t="s">
        <v>68</v>
      </c>
      <c r="C6" t="s">
        <v>69</v>
      </c>
      <c r="J6">
        <v>476659</v>
      </c>
      <c r="K6">
        <f>+Table1[[#This Row],[Precio]]*0.95</f>
        <v>452826.05</v>
      </c>
      <c r="L6">
        <v>0.15</v>
      </c>
      <c r="M6">
        <v>12</v>
      </c>
      <c r="N6">
        <v>5</v>
      </c>
      <c r="O6">
        <v>5</v>
      </c>
      <c r="P6">
        <v>10</v>
      </c>
      <c r="Q6" t="s">
        <v>70</v>
      </c>
      <c r="S6" t="s">
        <v>34</v>
      </c>
      <c r="T6" t="s">
        <v>35</v>
      </c>
      <c r="U6" t="s">
        <v>71</v>
      </c>
      <c r="W6" t="s">
        <v>72</v>
      </c>
      <c r="X6" t="s">
        <v>73</v>
      </c>
      <c r="Y6" t="s">
        <v>39</v>
      </c>
      <c r="Z6" t="s">
        <v>34</v>
      </c>
      <c r="AB6" t="s">
        <v>74</v>
      </c>
      <c r="AC6" t="s">
        <v>114</v>
      </c>
      <c r="AD6">
        <f>+Table1[[#This Row],[Precio]]*0.7</f>
        <v>333661.3</v>
      </c>
      <c r="AE6" t="s">
        <v>75</v>
      </c>
    </row>
    <row r="7" spans="1:31" x14ac:dyDescent="0.3">
      <c r="A7" t="s">
        <v>76</v>
      </c>
      <c r="B7" t="s">
        <v>77</v>
      </c>
      <c r="C7" t="s">
        <v>78</v>
      </c>
      <c r="J7">
        <v>281021</v>
      </c>
      <c r="K7">
        <f>+Table1[[#This Row],[Precio]]*0.95</f>
        <v>266969.95</v>
      </c>
      <c r="L7">
        <v>0.15</v>
      </c>
      <c r="M7">
        <v>12</v>
      </c>
      <c r="N7">
        <v>5</v>
      </c>
      <c r="O7">
        <v>5</v>
      </c>
      <c r="P7">
        <v>10</v>
      </c>
      <c r="Q7" t="s">
        <v>79</v>
      </c>
      <c r="S7" t="s">
        <v>34</v>
      </c>
      <c r="T7" t="s">
        <v>35</v>
      </c>
      <c r="U7" t="s">
        <v>80</v>
      </c>
      <c r="W7" t="s">
        <v>81</v>
      </c>
      <c r="X7" t="s">
        <v>82</v>
      </c>
      <c r="Y7" t="s">
        <v>39</v>
      </c>
      <c r="Z7" t="s">
        <v>34</v>
      </c>
      <c r="AB7" t="s">
        <v>49</v>
      </c>
      <c r="AC7" t="s">
        <v>114</v>
      </c>
      <c r="AD7">
        <f>+Table1[[#This Row],[Precio]]*0.7</f>
        <v>196714.69999999998</v>
      </c>
      <c r="AE7" t="s">
        <v>83</v>
      </c>
    </row>
    <row r="8" spans="1:31" x14ac:dyDescent="0.3">
      <c r="A8" t="s">
        <v>84</v>
      </c>
      <c r="B8" t="s">
        <v>85</v>
      </c>
      <c r="C8" t="s">
        <v>86</v>
      </c>
      <c r="J8">
        <v>588712</v>
      </c>
      <c r="K8">
        <f>+Table1[[#This Row],[Precio]]*0.95</f>
        <v>559276.4</v>
      </c>
      <c r="L8">
        <v>0.15</v>
      </c>
      <c r="M8">
        <v>12</v>
      </c>
      <c r="N8">
        <v>5</v>
      </c>
      <c r="O8">
        <v>5</v>
      </c>
      <c r="P8">
        <v>10</v>
      </c>
      <c r="Q8" t="s">
        <v>87</v>
      </c>
      <c r="S8" t="s">
        <v>34</v>
      </c>
      <c r="T8" t="s">
        <v>35</v>
      </c>
      <c r="U8" t="s">
        <v>88</v>
      </c>
      <c r="W8" t="s">
        <v>89</v>
      </c>
      <c r="X8" t="s">
        <v>90</v>
      </c>
      <c r="Y8" t="s">
        <v>39</v>
      </c>
      <c r="Z8" t="s">
        <v>34</v>
      </c>
      <c r="AB8" t="s">
        <v>49</v>
      </c>
      <c r="AC8" t="s">
        <v>114</v>
      </c>
      <c r="AD8">
        <f>+Table1[[#This Row],[Precio]]*0.7</f>
        <v>412098.39999999997</v>
      </c>
      <c r="AE8" t="s">
        <v>91</v>
      </c>
    </row>
    <row r="9" spans="1:31" x14ac:dyDescent="0.3">
      <c r="A9" t="s">
        <v>92</v>
      </c>
      <c r="B9" t="s">
        <v>93</v>
      </c>
      <c r="C9" t="s">
        <v>61</v>
      </c>
      <c r="J9">
        <v>293687</v>
      </c>
      <c r="K9">
        <f>+Table1[[#This Row],[Precio]]*0.95</f>
        <v>279002.64999999997</v>
      </c>
      <c r="L9">
        <v>0.15</v>
      </c>
      <c r="M9">
        <v>12</v>
      </c>
      <c r="N9">
        <v>5</v>
      </c>
      <c r="O9">
        <v>5</v>
      </c>
      <c r="P9">
        <v>10</v>
      </c>
      <c r="Q9" t="s">
        <v>94</v>
      </c>
      <c r="S9" t="s">
        <v>34</v>
      </c>
      <c r="T9" t="s">
        <v>35</v>
      </c>
      <c r="U9" t="s">
        <v>95</v>
      </c>
      <c r="W9" t="s">
        <v>96</v>
      </c>
      <c r="X9" t="s">
        <v>97</v>
      </c>
      <c r="Y9" t="s">
        <v>39</v>
      </c>
      <c r="Z9" t="s">
        <v>34</v>
      </c>
      <c r="AB9" t="s">
        <v>74</v>
      </c>
      <c r="AC9" t="s">
        <v>114</v>
      </c>
      <c r="AD9">
        <f>+Table1[[#This Row],[Precio]]*0.7</f>
        <v>205580.9</v>
      </c>
      <c r="AE9" t="s">
        <v>98</v>
      </c>
    </row>
    <row r="10" spans="1:31" x14ac:dyDescent="0.3">
      <c r="A10" t="s">
        <v>99</v>
      </c>
      <c r="B10" t="s">
        <v>100</v>
      </c>
      <c r="C10" t="s">
        <v>69</v>
      </c>
      <c r="J10">
        <v>517573</v>
      </c>
      <c r="K10">
        <f>+Table1[[#This Row],[Precio]]*0.95</f>
        <v>491694.35</v>
      </c>
      <c r="L10">
        <v>0.15</v>
      </c>
      <c r="M10">
        <v>12</v>
      </c>
      <c r="N10">
        <v>5</v>
      </c>
      <c r="O10">
        <v>5</v>
      </c>
      <c r="P10">
        <v>10</v>
      </c>
      <c r="Q10" t="s">
        <v>101</v>
      </c>
      <c r="S10" t="s">
        <v>34</v>
      </c>
      <c r="T10" t="s">
        <v>35</v>
      </c>
      <c r="U10" t="s">
        <v>102</v>
      </c>
      <c r="W10" t="s">
        <v>103</v>
      </c>
      <c r="X10" t="s">
        <v>104</v>
      </c>
      <c r="Y10" t="s">
        <v>39</v>
      </c>
      <c r="Z10" t="s">
        <v>34</v>
      </c>
      <c r="AB10" t="s">
        <v>74</v>
      </c>
      <c r="AC10" t="s">
        <v>114</v>
      </c>
      <c r="AD10">
        <f>+Table1[[#This Row],[Precio]]*0.7</f>
        <v>362301.1</v>
      </c>
      <c r="AE10" t="s">
        <v>105</v>
      </c>
    </row>
    <row r="11" spans="1:31" x14ac:dyDescent="0.3">
      <c r="A11" t="s">
        <v>106</v>
      </c>
      <c r="B11" t="s">
        <v>107</v>
      </c>
      <c r="C11" t="s">
        <v>108</v>
      </c>
      <c r="J11">
        <v>498384</v>
      </c>
      <c r="K11">
        <f>+Table1[[#This Row],[Precio]]*0.95</f>
        <v>473464.8</v>
      </c>
      <c r="L11">
        <v>0.15</v>
      </c>
      <c r="M11">
        <v>12</v>
      </c>
      <c r="N11">
        <v>5</v>
      </c>
      <c r="O11">
        <v>5</v>
      </c>
      <c r="P11">
        <v>10</v>
      </c>
      <c r="Q11" t="s">
        <v>109</v>
      </c>
      <c r="S11" t="s">
        <v>34</v>
      </c>
      <c r="T11" t="s">
        <v>35</v>
      </c>
      <c r="U11" t="s">
        <v>110</v>
      </c>
      <c r="W11" t="s">
        <v>111</v>
      </c>
      <c r="X11" t="s">
        <v>112</v>
      </c>
      <c r="Y11" t="s">
        <v>39</v>
      </c>
      <c r="Z11" t="s">
        <v>34</v>
      </c>
      <c r="AB11" t="s">
        <v>40</v>
      </c>
      <c r="AC11" t="s">
        <v>114</v>
      </c>
      <c r="AD11">
        <f>+Table1[[#This Row],[Precio]]*0.7</f>
        <v>348868.8</v>
      </c>
      <c r="AE11" t="s">
        <v>113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Ferrer</dc:creator>
  <cp:lastModifiedBy>Andrés Ferrer</cp:lastModifiedBy>
  <dcterms:created xsi:type="dcterms:W3CDTF">2026-03-09T16:42:14Z</dcterms:created>
  <dcterms:modified xsi:type="dcterms:W3CDTF">2026-03-16T21:15:35Z</dcterms:modified>
</cp:coreProperties>
</file>